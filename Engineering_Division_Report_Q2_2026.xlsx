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KPI Comparison" sheetId="3" state="visible" r:id="rId3"/>
    <sheet name="Activity Mix" sheetId="4" state="visible" r:id="rId4"/>
    <sheet name="Engineer Workload" sheetId="5" state="visible" r:id="rId5"/>
    <sheet name="Skid MDR Status" sheetId="6" state="visible" r:id="rId6"/>
    <sheet name="Division KP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F3864"/>
      <sz val="18"/>
    </font>
    <font>
      <name val="Calibri"/>
      <b val="1"/>
      <color rgb="002E5496"/>
      <sz val="16"/>
    </font>
    <font>
      <name val="Calibri"/>
      <i val="1"/>
      <color rgb="00808080"/>
      <sz val="12"/>
    </font>
    <font>
      <name val="Calibri"/>
      <b val="1"/>
      <color rgb="00FFFFFF"/>
      <sz val="11"/>
    </font>
    <font>
      <name val="Calibri"/>
      <color rgb="00262626"/>
      <sz val="11"/>
    </font>
    <font>
      <name val="Calibri"/>
      <b val="1"/>
      <color rgb="001F3864"/>
      <sz val="12"/>
    </font>
    <font>
      <name val="Calibri"/>
      <color rgb="00262626"/>
      <sz val="10"/>
    </font>
    <font>
      <name val="Calibri"/>
      <b val="1"/>
      <color rgb="00FFFFFF"/>
      <sz val="16"/>
    </font>
    <font>
      <name val="Calibri"/>
      <i val="1"/>
      <color rgb="00808080"/>
      <sz val="11"/>
    </font>
    <font>
      <name val="Calibri"/>
      <b val="1"/>
      <color rgb="00FFFFFF"/>
      <sz val="10"/>
    </font>
    <font>
      <name val="Calibri"/>
      <b val="1"/>
      <color rgb="002E5496"/>
      <sz val="22"/>
    </font>
    <font>
      <name val="Calibri"/>
      <color rgb="00808080"/>
      <sz val="9"/>
    </font>
    <font>
      <name val="Calibri"/>
      <b val="1"/>
      <color rgb="00548235"/>
      <sz val="22"/>
    </font>
    <font>
      <name val="Calibri"/>
      <b val="1"/>
      <color rgb="00BF8F00"/>
      <sz val="22"/>
    </font>
    <font>
      <name val="Calibri"/>
      <b val="1"/>
      <color rgb="00C00000"/>
      <sz val="22"/>
    </font>
    <font>
      <name val="Calibri"/>
      <b val="1"/>
      <color rgb="00FFFFFF"/>
      <sz val="13"/>
    </font>
    <font>
      <name val="Calibri"/>
      <b val="1"/>
      <color rgb="00548235"/>
      <sz val="11"/>
    </font>
    <font>
      <name val="Calibri"/>
      <b val="1"/>
      <color rgb="00BF8F00"/>
      <sz val="11"/>
    </font>
    <font>
      <name val="Calibri"/>
      <b val="1"/>
      <color rgb="00C00000"/>
      <sz val="11"/>
    </font>
    <font>
      <name val="Calibri"/>
      <b val="1"/>
      <color rgb="00FFFFFF"/>
      <sz val="15"/>
    </font>
    <font>
      <name val="Calibri"/>
      <b val="1"/>
      <color rgb="00262626"/>
      <sz val="10"/>
    </font>
    <font>
      <name val="Calibri"/>
      <b val="1"/>
      <color rgb="00808080"/>
      <sz val="10"/>
    </font>
    <font>
      <name val="Calibri"/>
      <b val="1"/>
      <color rgb="00C00000"/>
      <sz val="10"/>
    </font>
    <font>
      <name val="Calibri"/>
      <b val="1"/>
      <color rgb="00548235"/>
      <sz val="10"/>
    </font>
    <font>
      <name val="Calibri"/>
      <i val="1"/>
      <color rgb="00808080"/>
      <sz val="10"/>
    </font>
    <font>
      <name val="Calibri"/>
      <b val="1"/>
      <color rgb="001F3864"/>
      <sz val="10"/>
    </font>
    <font>
      <name val="Calibri"/>
      <i val="1"/>
      <color rgb="00C00000"/>
      <sz val="9"/>
    </font>
    <font>
      <name val="Calibri"/>
      <b val="1"/>
      <color rgb="00FFFFFF"/>
      <sz val="9"/>
    </font>
    <font>
      <name val="Calibri"/>
      <b val="1"/>
      <color rgb="001F3864"/>
      <sz val="16"/>
    </font>
    <font>
      <name val="Calibri"/>
      <b val="1"/>
      <color rgb="00FFFFFF"/>
      <sz val="12"/>
    </font>
    <font>
      <name val="Calibri"/>
      <b val="1"/>
      <color rgb="00BF8F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8EAA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0" xfId="0">
      <alignment horizontal="center" vertical="center" wrapText="1"/>
    </xf>
    <xf numFmtId="0" fontId="28" fillId="12" borderId="1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0" fontId="31" fillId="4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KPIs: Q1 vs Q2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Comparison'!I4</f>
            </strRef>
          </tx>
          <spPr>
            <a:ln>
              <a:prstDash val="solid"/>
            </a:ln>
          </spPr>
          <cat>
            <numRef>
              <f>'KPI Comparison'!$H$5:$H$6</f>
            </numRef>
          </cat>
          <val>
            <numRef>
              <f>'KPI Comparison'!$I$5:$I$6</f>
            </numRef>
          </val>
        </ser>
        <ser>
          <idx val="1"/>
          <order val="1"/>
          <tx>
            <strRef>
              <f>'KPI Comparison'!J4</f>
            </strRef>
          </tx>
          <spPr>
            <a:ln>
              <a:prstDash val="solid"/>
            </a:ln>
          </spPr>
          <cat>
            <numRef>
              <f>'KPI Comparison'!$H$5:$H$6</f>
            </numRef>
          </cat>
          <val>
            <numRef>
              <f>'KPI Comparison'!$J$5:$J$6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KPIs: Q1 vs Q2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Comparison'!I9</f>
            </strRef>
          </tx>
          <spPr>
            <a:ln>
              <a:prstDash val="solid"/>
            </a:ln>
          </spPr>
          <cat>
            <numRef>
              <f>'KPI Comparison'!$H$10:$H$12</f>
            </numRef>
          </cat>
          <val>
            <numRef>
              <f>'KPI Comparison'!$I$10:$I$12</f>
            </numRef>
          </val>
        </ser>
        <ser>
          <idx val="1"/>
          <order val="1"/>
          <tx>
            <strRef>
              <f>'KPI Comparison'!J9</f>
            </strRef>
          </tx>
          <spPr>
            <a:ln>
              <a:prstDash val="solid"/>
            </a:ln>
          </spPr>
          <cat>
            <numRef>
              <f>'KPI Comparison'!$H$10:$H$12</f>
            </numRef>
          </cat>
          <val>
            <numRef>
              <f>'KPI Comparison'!$J$10:$J$12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Activities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Activity Types — Q1 vs Q2 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'Activity Mix'!C5</f>
            </strRef>
          </tx>
          <spPr>
            <a:ln>
              <a:prstDash val="solid"/>
            </a:ln>
          </spPr>
          <cat>
            <numRef>
              <f>'Activity Mix'!$B$6:$B$20</f>
            </numRef>
          </cat>
          <val>
            <numRef>
              <f>'Activity Mix'!$C$6:$C$20</f>
            </numRef>
          </val>
        </ser>
        <ser>
          <idx val="1"/>
          <order val="1"/>
          <tx>
            <strRef>
              <f>'Activity Mix'!D5</f>
            </strRef>
          </tx>
          <spPr>
            <a:ln>
              <a:prstDash val="solid"/>
            </a:ln>
          </spPr>
          <cat>
            <numRef>
              <f>'Activity Mix'!$B$6:$B$20</f>
            </numRef>
          </cat>
          <val>
            <numRef>
              <f>'Activity Mix'!$D$6:$D$20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Engineer Workload — Q1 vs Q2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'Engineer Workload'!C5</f>
            </strRef>
          </tx>
          <spPr>
            <a:ln>
              <a:prstDash val="solid"/>
            </a:ln>
          </spPr>
          <cat>
            <numRef>
              <f>'Engineer Workload'!$B$6:$B$14</f>
            </numRef>
          </cat>
          <val>
            <numRef>
              <f>'Engineer Workload'!$C$6:$C$14</f>
            </numRef>
          </val>
        </ser>
        <ser>
          <idx val="1"/>
          <order val="1"/>
          <tx>
            <strRef>
              <f>'Engineer Workload'!D5</f>
            </strRef>
          </tx>
          <spPr>
            <a:ln>
              <a:prstDash val="solid"/>
            </a:ln>
          </spPr>
          <cat>
            <numRef>
              <f>'Engineer Workload'!$B$6:$B$14</f>
            </numRef>
          </cat>
          <val>
            <numRef>
              <f>'Engineer Workload'!$D$6:$D$14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Activities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Pending Backlog Share by Assignee</a:t>
            </a:r>
          </a:p>
        </rich>
      </tx>
    </title>
    <plotArea>
      <pieChart>
        <varyColors val="1"/>
        <ser>
          <idx val="0"/>
          <order val="0"/>
          <tx>
            <strRef>
              <f>'Skid MDR Status'!C18</f>
            </strRef>
          </tx>
          <spPr>
            <a:ln>
              <a:prstDash val="solid"/>
            </a:ln>
          </spPr>
          <cat>
            <numRef>
              <f>'Skid MDR Status'!$B$19:$B$26</f>
            </numRef>
          </cat>
          <val>
            <numRef>
              <f>'Skid MDR Status'!$C$19:$C$26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Skid Docs: Completed vs Pending (Q1→Q2)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'Skid MDR Status'!H28</f>
            </strRef>
          </tx>
          <spPr>
            <a:ln>
              <a:prstDash val="solid"/>
            </a:ln>
          </spPr>
          <cat>
            <numRef>
              <f>'Skid MDR Status'!$G$29:$G$30</f>
            </numRef>
          </cat>
          <val>
            <numRef>
              <f>'Skid MDR Status'!$H$29:$H$30</f>
            </numRef>
          </val>
        </ser>
        <ser>
          <idx val="1"/>
          <order val="1"/>
          <tx>
            <strRef>
              <f>'Skid MDR Status'!I28</f>
            </strRef>
          </tx>
          <spPr>
            <a:ln>
              <a:prstDash val="solid"/>
            </a:ln>
          </spPr>
          <cat>
            <numRef>
              <f>'Skid MDR Status'!$G$29:$G$30</f>
            </numRef>
          </cat>
          <val>
            <numRef>
              <f>'Skid MDR Status'!$I$29:$I$30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33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25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1" ht="20" customHeight="1"/>
    <row r="2" ht="10" customHeight="1">
      <c r="B2" s="1" t="n"/>
    </row>
    <row r="3" ht="20" customHeight="1">
      <c r="B3" s="1" t="n"/>
    </row>
    <row r="4" ht="46" customHeight="1">
      <c r="B4" s="2" t="inlineStr">
        <is>
          <t>ENGINEERING DIVISION</t>
        </is>
      </c>
    </row>
    <row r="5" ht="20" customHeight="1">
      <c r="B5" s="1" t="n"/>
    </row>
    <row r="6" ht="34" customHeight="1">
      <c r="B6" s="3" t="inlineStr">
        <is>
          <t>Quarterly Performance Report</t>
        </is>
      </c>
    </row>
    <row r="7" ht="30" customHeight="1">
      <c r="B7" s="4" t="inlineStr">
        <is>
          <t>Q2 2026  (Apr – Jun 2026)</t>
        </is>
      </c>
    </row>
    <row r="8" ht="20" customHeight="1">
      <c r="B8" s="5" t="inlineStr">
        <is>
          <t>with comparison to Q1 2026</t>
        </is>
      </c>
    </row>
    <row r="9" ht="20" customHeight="1"/>
    <row r="10" ht="20" customHeight="1"/>
    <row r="11" ht="22" customHeight="1">
      <c r="B11" s="6" t="inlineStr">
        <is>
          <t>Reporting period</t>
        </is>
      </c>
      <c r="D11" s="7" t="inlineStr">
        <is>
          <t>Q2 2026 (1 Apr – 30 Jun 2026)</t>
        </is>
      </c>
    </row>
    <row r="12" ht="22" customHeight="1">
      <c r="B12" s="6" t="inlineStr">
        <is>
          <t>Comparison baseline</t>
        </is>
      </c>
      <c r="D12" s="7" t="inlineStr">
        <is>
          <t>Q1 2026 (1 Jan – 31 Mar 2026)</t>
        </is>
      </c>
    </row>
    <row r="13" ht="22" customHeight="1">
      <c r="B13" s="6" t="inlineStr">
        <is>
          <t>Data sources</t>
        </is>
      </c>
      <c r="D13" s="7" t="inlineStr">
        <is>
          <t>Engineering Job Scheduling; Skid MDR Register</t>
        </is>
      </c>
    </row>
    <row r="14" ht="22" customHeight="1">
      <c r="B14" s="6" t="inlineStr">
        <is>
          <t>Data cut-off</t>
        </is>
      </c>
      <c r="D14" s="7" t="inlineStr">
        <is>
          <t>16 June 2026</t>
        </is>
      </c>
    </row>
    <row r="15" ht="22" customHeight="1">
      <c r="B15" s="6" t="inlineStr">
        <is>
          <t>Report date</t>
        </is>
      </c>
      <c r="D15" s="7" t="inlineStr">
        <is>
          <t>22 June 2026</t>
        </is>
      </c>
    </row>
    <row r="16" ht="22" customHeight="1">
      <c r="B16" s="6" t="inlineStr">
        <is>
          <t>Prepared by</t>
        </is>
      </c>
      <c r="D16" s="7" t="inlineStr">
        <is>
          <t>Engineering Division</t>
        </is>
      </c>
    </row>
    <row r="17" ht="20" customHeight="1"/>
    <row r="18" ht="20" customHeight="1">
      <c r="B18" s="8" t="inlineStr">
        <is>
          <t>Scope &amp; Data Notes</t>
        </is>
      </c>
    </row>
    <row r="19" ht="16" customHeight="1">
      <c r="B19" s="9" t="inlineStr">
        <is>
          <t>1.  Job-scheduling KPIs are derived from activity Start Date within each quarter.</t>
        </is>
      </c>
    </row>
    <row r="20" ht="16" customHeight="1">
      <c r="B20" s="9" t="inlineStr">
        <is>
          <t>2.  Q2 2026 reflects activity through the 16 Jun 2026 data cut-off (partial quarter).</t>
        </is>
      </c>
    </row>
    <row r="21" ht="16" customHeight="1">
      <c r="B21" s="9" t="inlineStr">
        <is>
          <t>3.  'NOD' = planned turnaround in days (End Date − Start Date).</t>
        </is>
      </c>
    </row>
    <row r="22" ht="16" customHeight="1">
      <c r="B22" s="9" t="inlineStr">
        <is>
          <t>4.  On-time = Actual Completion Date on or before the planned End Date.</t>
        </is>
      </c>
    </row>
    <row r="23" ht="16" customHeight="1">
      <c r="B23" s="9" t="inlineStr">
        <is>
          <t>5.  Skid MDR document data is 2025-dated; its Q1/Q2 split is aligned to the</t>
        </is>
      </c>
    </row>
    <row r="24" ht="16" customHeight="1">
      <c r="B24" s="9" t="inlineStr">
        <is>
          <t xml:space="preserve">     quarterly timeline for trend comparison (calendar year differs — see Skid sheet).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26">
    <mergeCell ref="B2:G2"/>
    <mergeCell ref="B16:C16"/>
    <mergeCell ref="D12:G12"/>
    <mergeCell ref="B23:G23"/>
    <mergeCell ref="B8:G8"/>
    <mergeCell ref="D15:G15"/>
    <mergeCell ref="D14:G14"/>
    <mergeCell ref="B12:C12"/>
    <mergeCell ref="B19:G19"/>
    <mergeCell ref="B11:C11"/>
    <mergeCell ref="B14:C14"/>
    <mergeCell ref="B6:G6"/>
    <mergeCell ref="B13:C13"/>
    <mergeCell ref="B24:G24"/>
    <mergeCell ref="B20:G20"/>
    <mergeCell ref="B5:G5"/>
    <mergeCell ref="B4:G4"/>
    <mergeCell ref="D11:G11"/>
    <mergeCell ref="D13:G13"/>
    <mergeCell ref="B7:G7"/>
    <mergeCell ref="B3:G3"/>
    <mergeCell ref="B15:C15"/>
    <mergeCell ref="B22:G22"/>
    <mergeCell ref="D16:G16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5" customWidth="1" min="3" max="3"/>
    <col width="15" customWidth="1" min="4" max="4"/>
    <col width="15" customWidth="1" min="5" max="5"/>
    <col width="16" customWidth="1" min="6" max="6"/>
    <col width="26" customWidth="1" min="7" max="7"/>
    <col width="26" customWidth="1" min="8" max="8"/>
    <col width="2.5" customWidth="1" min="9" max="9"/>
  </cols>
  <sheetData>
    <row r="2" ht="30" customHeight="1">
      <c r="B2" s="10" t="inlineStr">
        <is>
          <t>EXECUTIVE SUMMARY — Q2 2026 vs Q1 2026</t>
        </is>
      </c>
    </row>
    <row r="3">
      <c r="B3" s="11" t="inlineStr">
        <is>
          <t>Engineering Job Scheduling — core delivery KPIs</t>
        </is>
      </c>
    </row>
    <row r="5" ht="20" customHeight="1">
      <c r="B5" s="12" t="inlineStr">
        <is>
          <t>Activities Completed</t>
        </is>
      </c>
      <c r="D5" s="13" t="inlineStr">
        <is>
          <t>Completion Rate</t>
        </is>
      </c>
      <c r="F5" s="13" t="inlineStr">
        <is>
          <t>On-Time Delivery</t>
        </is>
      </c>
    </row>
    <row r="6" ht="34" customHeight="1">
      <c r="B6" s="14" t="inlineStr">
        <is>
          <t>104</t>
        </is>
      </c>
      <c r="D6" s="15" t="inlineStr">
        <is>
          <t>89.7%</t>
        </is>
      </c>
      <c r="F6" s="15" t="inlineStr">
        <is>
          <t>92.0%</t>
        </is>
      </c>
    </row>
    <row r="7" ht="18" customHeight="1">
      <c r="B7" s="16" t="inlineStr">
        <is>
          <t>Q1: 147  (▼ -43.0)</t>
        </is>
      </c>
      <c r="D7" s="16" t="inlineStr">
        <is>
          <t>Q1: 93.0%  (▼ -3.4 pp)</t>
        </is>
      </c>
      <c r="F7" s="16" t="inlineStr">
        <is>
          <t>Q1: 87.8%  (▲ +4.2 pp)</t>
        </is>
      </c>
    </row>
    <row r="9" ht="20" customHeight="1">
      <c r="B9" s="17" t="inlineStr">
        <is>
          <t>Avg Turnaround (days)</t>
        </is>
      </c>
      <c r="D9" s="12" t="inlineStr">
        <is>
          <t>Active Job Orders</t>
        </is>
      </c>
      <c r="F9" s="18" t="inlineStr">
        <is>
          <t>Late Activities</t>
        </is>
      </c>
    </row>
    <row r="10" ht="34" customHeight="1">
      <c r="B10" s="19" t="inlineStr">
        <is>
          <t>2.23</t>
        </is>
      </c>
      <c r="D10" s="14" t="inlineStr">
        <is>
          <t>37</t>
        </is>
      </c>
      <c r="F10" s="20" t="inlineStr">
        <is>
          <t>8</t>
        </is>
      </c>
    </row>
    <row r="11" ht="18" customHeight="1">
      <c r="B11" s="16" t="inlineStr">
        <is>
          <t>Q1: 2.46  (▼ -0.2)</t>
        </is>
      </c>
      <c r="D11" s="16" t="inlineStr">
        <is>
          <t>Q1: 42  (▼ -5.0)</t>
        </is>
      </c>
      <c r="F11" s="16" t="inlineStr">
        <is>
          <t>Q1: 18  (▼ -10.0)</t>
        </is>
      </c>
    </row>
    <row r="13" ht="24" customHeight="1">
      <c r="B13" s="21" t="inlineStr">
        <is>
          <t>Key Takeaways</t>
        </is>
      </c>
    </row>
    <row r="14" ht="18" customHeight="1">
      <c r="B14" s="22" t="inlineStr">
        <is>
          <t>On-time delivery improved</t>
        </is>
      </c>
    </row>
    <row r="15" ht="30" customHeight="1">
      <c r="B15" s="23" t="inlineStr">
        <is>
          <t>On-time completion rose from 87.8% in Q1 to 92.0% in Q2, and late activities fell from 18 to 8.</t>
        </is>
      </c>
    </row>
    <row r="16" ht="18" customHeight="1">
      <c r="B16" s="22" t="inlineStr">
        <is>
          <t>Turnaround tightened</t>
        </is>
      </c>
    </row>
    <row r="17" ht="30" customHeight="1">
      <c r="B17" s="23" t="inlineStr">
        <is>
          <t>Average planned turnaround improved from 2.46 to 2.23 days per activity — faster scheduled cycle times.</t>
        </is>
      </c>
    </row>
    <row r="18" ht="18" customHeight="1">
      <c r="B18" s="24" t="inlineStr">
        <is>
          <t>Lower throughput (partial quarter)</t>
        </is>
      </c>
    </row>
    <row r="19" ht="30" customHeight="1">
      <c r="B19" s="23" t="inlineStr">
        <is>
          <t>Q2 shows 116 activities vs 158 in Q1. Q2 data ends 16 Jun, so the quarter is ~2/3 elapsed; full-quarter volume is expected to land near Q1 levels.</t>
        </is>
      </c>
    </row>
    <row r="20" ht="18" customHeight="1">
      <c r="B20" s="24" t="inlineStr">
        <is>
          <t>Completion rate slightly down</t>
        </is>
      </c>
    </row>
    <row r="21" ht="30" customHeight="1">
      <c r="B21" s="23" t="inlineStr">
        <is>
          <t>Completion rate eased from 93.0% to 89.7%, reflecting 5 in-progress and 7 open items still inside the active quarter.</t>
        </is>
      </c>
    </row>
    <row r="22" ht="18" customHeight="1">
      <c r="B22" s="25" t="inlineStr">
        <is>
          <t>Skid MDR backlog needs attention</t>
        </is>
      </c>
    </row>
    <row r="23" ht="30" customHeight="1">
      <c r="B23" s="23" t="inlineStr">
        <is>
          <t>The skid document register carries 117 pending documents across 40 jobs; Kareem Malik (51) and Ashif Mujthaba (28) hold the largest shares.</t>
        </is>
      </c>
    </row>
  </sheetData>
  <mergeCells count="31">
    <mergeCell ref="F11:G11"/>
    <mergeCell ref="D10:E10"/>
    <mergeCell ref="B7:C7"/>
    <mergeCell ref="F10:G10"/>
    <mergeCell ref="F6:G6"/>
    <mergeCell ref="B15:H15"/>
    <mergeCell ref="B20:H20"/>
    <mergeCell ref="F7:G7"/>
    <mergeCell ref="D6:E6"/>
    <mergeCell ref="B11:C11"/>
    <mergeCell ref="D11:E11"/>
    <mergeCell ref="F5:G5"/>
    <mergeCell ref="B16:H16"/>
    <mergeCell ref="B3:H3"/>
    <mergeCell ref="B22:H22"/>
    <mergeCell ref="D7:E7"/>
    <mergeCell ref="B18:H18"/>
    <mergeCell ref="B21:H21"/>
    <mergeCell ref="B10:C10"/>
    <mergeCell ref="B2:H2"/>
    <mergeCell ref="B9:C9"/>
    <mergeCell ref="D9:E9"/>
    <mergeCell ref="F9:G9"/>
    <mergeCell ref="B23:H23"/>
    <mergeCell ref="B6:C6"/>
    <mergeCell ref="B14:H14"/>
    <mergeCell ref="B17:H17"/>
    <mergeCell ref="B13:H13"/>
    <mergeCell ref="B5:C5"/>
    <mergeCell ref="D5:E5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5" customWidth="1" min="3" max="3"/>
    <col width="15" customWidth="1" min="4" max="4"/>
    <col width="15" customWidth="1" min="5" max="5"/>
    <col width="30" customWidth="1" min="6" max="6"/>
    <col hidden="1" width="13" customWidth="1" min="8" max="8"/>
    <col hidden="1" width="13" customWidth="1" min="9" max="9"/>
    <col hidden="1" width="13" customWidth="1" min="10" max="10"/>
  </cols>
  <sheetData>
    <row r="2" ht="28" customHeight="1">
      <c r="B2" s="26" t="inlineStr">
        <is>
          <t>KPI COMPARISON — Engineering Job Scheduling</t>
        </is>
      </c>
    </row>
    <row r="4" ht="22" customHeight="1">
      <c r="B4" s="27" t="inlineStr">
        <is>
          <t>KPI</t>
        </is>
      </c>
      <c r="C4" s="27" t="inlineStr">
        <is>
          <t>Q1 2026</t>
        </is>
      </c>
      <c r="D4" s="27" t="inlineStr">
        <is>
          <t>Q2 2026</t>
        </is>
      </c>
      <c r="E4" s="27" t="inlineStr">
        <is>
          <t>Change</t>
        </is>
      </c>
      <c r="F4" s="27" t="inlineStr">
        <is>
          <t>Interpretation</t>
        </is>
      </c>
      <c r="H4" t="inlineStr">
        <is>
          <t>Metric</t>
        </is>
      </c>
      <c r="I4" t="inlineStr">
        <is>
          <t>Q1 2026</t>
        </is>
      </c>
      <c r="J4" t="inlineStr">
        <is>
          <t>Q2 2026</t>
        </is>
      </c>
    </row>
    <row r="5" ht="20" customHeight="1">
      <c r="B5" s="28" t="inlineStr">
        <is>
          <t>Total activities scheduled</t>
        </is>
      </c>
      <c r="C5" s="29" t="n">
        <v>158</v>
      </c>
      <c r="D5" s="30" t="n">
        <v>116</v>
      </c>
      <c r="E5" s="31" t="inlineStr">
        <is>
          <t>-42</t>
        </is>
      </c>
      <c r="F5" s="32" t="inlineStr">
        <is>
          <t>Q2 partial (cut-off 16 Jun)</t>
        </is>
      </c>
      <c r="H5" t="inlineStr">
        <is>
          <t>Completion %</t>
        </is>
      </c>
      <c r="I5" t="n">
        <v>93</v>
      </c>
      <c r="J5" t="n">
        <v>89.7</v>
      </c>
    </row>
    <row r="6" ht="20" customHeight="1">
      <c r="B6" s="33" t="inlineStr">
        <is>
          <t>Unique job orders worked</t>
        </is>
      </c>
      <c r="C6" s="34" t="n">
        <v>42</v>
      </c>
      <c r="D6" s="35" t="n">
        <v>37</v>
      </c>
      <c r="E6" s="36" t="inlineStr">
        <is>
          <t>-5</t>
        </is>
      </c>
      <c r="F6" s="37" t="inlineStr">
        <is>
          <t>Active project breadth</t>
        </is>
      </c>
      <c r="H6" t="inlineStr">
        <is>
          <t>On-Time %</t>
        </is>
      </c>
      <c r="I6" t="n">
        <v>87.8</v>
      </c>
      <c r="J6" t="n">
        <v>92</v>
      </c>
    </row>
    <row r="7" ht="20" customHeight="1">
      <c r="B7" s="28" t="inlineStr">
        <is>
          <t>Activities completed</t>
        </is>
      </c>
      <c r="C7" s="29" t="n">
        <v>147</v>
      </c>
      <c r="D7" s="30" t="n">
        <v>104</v>
      </c>
      <c r="E7" s="31" t="inlineStr">
        <is>
          <t>-43</t>
        </is>
      </c>
      <c r="F7" s="32" t="inlineStr">
        <is>
          <t>Delivered output</t>
        </is>
      </c>
    </row>
    <row r="8" ht="20" customHeight="1">
      <c r="B8" s="33" t="inlineStr">
        <is>
          <t>Completion rate</t>
        </is>
      </c>
      <c r="C8" s="34" t="inlineStr">
        <is>
          <t>93.0%</t>
        </is>
      </c>
      <c r="D8" s="35" t="inlineStr">
        <is>
          <t>89.7%</t>
        </is>
      </c>
      <c r="E8" s="38" t="inlineStr">
        <is>
          <t>-3.4 pp</t>
        </is>
      </c>
      <c r="F8" s="37" t="inlineStr">
        <is>
          <t>Share of scheduled work completed</t>
        </is>
      </c>
    </row>
    <row r="9" ht="20" customHeight="1">
      <c r="B9" s="28" t="inlineStr">
        <is>
          <t>In-progress activities</t>
        </is>
      </c>
      <c r="C9" s="29" t="n">
        <v>2</v>
      </c>
      <c r="D9" s="30" t="n">
        <v>5</v>
      </c>
      <c r="E9" s="31" t="inlineStr">
        <is>
          <t>+3</t>
        </is>
      </c>
      <c r="F9" s="32" t="inlineStr">
        <is>
          <t>Work-in-progress at cut-off</t>
        </is>
      </c>
      <c r="H9" t="inlineStr">
        <is>
          <t>Metric</t>
        </is>
      </c>
      <c r="I9" t="inlineStr">
        <is>
          <t>Q1 2026</t>
        </is>
      </c>
      <c r="J9" t="inlineStr">
        <is>
          <t>Q2 2026</t>
        </is>
      </c>
    </row>
    <row r="10" ht="20" customHeight="1">
      <c r="B10" s="33" t="inlineStr">
        <is>
          <t>Open / not-started</t>
        </is>
      </c>
      <c r="C10" s="34" t="n">
        <v>9</v>
      </c>
      <c r="D10" s="35" t="n">
        <v>7</v>
      </c>
      <c r="E10" s="36" t="inlineStr">
        <is>
          <t>-2</t>
        </is>
      </c>
      <c r="F10" s="37" t="inlineStr">
        <is>
          <t>Backlog inside quarter</t>
        </is>
      </c>
      <c r="H10" t="inlineStr">
        <is>
          <t>Scheduled</t>
        </is>
      </c>
      <c r="I10" t="n">
        <v>158</v>
      </c>
      <c r="J10" t="n">
        <v>116</v>
      </c>
    </row>
    <row r="11" ht="20" customHeight="1">
      <c r="B11" s="28" t="inlineStr">
        <is>
          <t>On-time deliveries</t>
        </is>
      </c>
      <c r="C11" s="29" t="n">
        <v>129</v>
      </c>
      <c r="D11" s="30" t="n">
        <v>92</v>
      </c>
      <c r="E11" s="39" t="inlineStr">
        <is>
          <t>-37</t>
        </is>
      </c>
      <c r="F11" s="32" t="inlineStr">
        <is>
          <t>Completed on/before End Date</t>
        </is>
      </c>
      <c r="H11" t="inlineStr">
        <is>
          <t>Completed</t>
        </is>
      </c>
      <c r="I11" t="n">
        <v>147</v>
      </c>
      <c r="J11" t="n">
        <v>104</v>
      </c>
    </row>
    <row r="12" ht="20" customHeight="1">
      <c r="B12" s="33" t="inlineStr">
        <is>
          <t>Late deliveries</t>
        </is>
      </c>
      <c r="C12" s="34" t="n">
        <v>18</v>
      </c>
      <c r="D12" s="35" t="n">
        <v>8</v>
      </c>
      <c r="E12" s="39" t="inlineStr">
        <is>
          <t>-10</t>
        </is>
      </c>
      <c r="F12" s="37" t="inlineStr">
        <is>
          <t>Completed after End Date</t>
        </is>
      </c>
      <c r="H12" t="inlineStr">
        <is>
          <t>Late</t>
        </is>
      </c>
      <c r="I12" t="n">
        <v>18</v>
      </c>
      <c r="J12" t="n">
        <v>8</v>
      </c>
    </row>
    <row r="13" ht="20" customHeight="1">
      <c r="B13" s="28" t="inlineStr">
        <is>
          <t>On-time delivery rate</t>
        </is>
      </c>
      <c r="C13" s="29" t="inlineStr">
        <is>
          <t>87.8%</t>
        </is>
      </c>
      <c r="D13" s="30" t="inlineStr">
        <is>
          <t>92.0%</t>
        </is>
      </c>
      <c r="E13" s="39" t="inlineStr">
        <is>
          <t>+4.2 pp</t>
        </is>
      </c>
      <c r="F13" s="32" t="inlineStr">
        <is>
          <t>Schedule reliability</t>
        </is>
      </c>
    </row>
    <row r="14" ht="20" customHeight="1">
      <c r="B14" s="33" t="inlineStr">
        <is>
          <t>Avg planned turnaround (days)</t>
        </is>
      </c>
      <c r="C14" s="34" t="inlineStr">
        <is>
          <t>2.46</t>
        </is>
      </c>
      <c r="D14" s="35" t="inlineStr">
        <is>
          <t>2.23</t>
        </is>
      </c>
      <c r="E14" s="39" t="inlineStr">
        <is>
          <t>-0.22</t>
        </is>
      </c>
      <c r="F14" s="37" t="inlineStr">
        <is>
          <t>Lower = faster cycle time</t>
        </is>
      </c>
    </row>
    <row r="15" ht="20" customHeight="1">
      <c r="B15" s="28" t="inlineStr">
        <is>
          <t>Total planned engineering-days</t>
        </is>
      </c>
      <c r="C15" s="29" t="n">
        <v>383</v>
      </c>
      <c r="D15" s="30" t="n">
        <v>248</v>
      </c>
      <c r="E15" s="31" t="inlineStr">
        <is>
          <t>-135</t>
        </is>
      </c>
      <c r="F15" s="32" t="inlineStr">
        <is>
          <t>Scheduled effort volume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</cols>
  <sheetData>
    <row r="2" ht="28" customHeight="1">
      <c r="B2" s="26" t="inlineStr">
        <is>
          <t>ACTIVITY MIX — Top Engineering Activity Types</t>
        </is>
      </c>
    </row>
    <row r="3">
      <c r="B3" s="40" t="inlineStr">
        <is>
          <t>Count of scheduled activities by type (Q1 vs Q2 2026)</t>
        </is>
      </c>
    </row>
    <row r="5" ht="20" customHeight="1">
      <c r="B5" s="27" t="inlineStr">
        <is>
          <t>Activity Type</t>
        </is>
      </c>
      <c r="C5" s="27" t="inlineStr">
        <is>
          <t>Q1 2026</t>
        </is>
      </c>
      <c r="D5" s="27" t="inlineStr">
        <is>
          <t>Q2 2026</t>
        </is>
      </c>
      <c r="E5" s="27" t="inlineStr">
        <is>
          <t>Total</t>
        </is>
      </c>
    </row>
    <row r="6" ht="18" customHeight="1">
      <c r="B6" s="41" t="inlineStr">
        <is>
          <t>GAD</t>
        </is>
      </c>
      <c r="C6" s="29" t="n">
        <v>12</v>
      </c>
      <c r="D6" s="30" t="n">
        <v>9</v>
      </c>
      <c r="E6" s="42" t="n">
        <v>21</v>
      </c>
    </row>
    <row r="7" ht="18" customHeight="1">
      <c r="B7" s="23" t="inlineStr">
        <is>
          <t>Concept Design and Feasibility Study</t>
        </is>
      </c>
      <c r="C7" s="34" t="n">
        <v>9</v>
      </c>
      <c r="D7" s="35" t="n">
        <v>4</v>
      </c>
      <c r="E7" s="43" t="n">
        <v>13</v>
      </c>
    </row>
    <row r="8" ht="18" customHeight="1">
      <c r="B8" s="41" t="inlineStr">
        <is>
          <t>DXF file creation for the Sheetmetal</t>
        </is>
      </c>
      <c r="C8" s="29" t="n">
        <v>8</v>
      </c>
      <c r="D8" s="30" t="n">
        <v>4</v>
      </c>
      <c r="E8" s="42" t="n">
        <v>12</v>
      </c>
    </row>
    <row r="9" ht="18" customHeight="1">
      <c r="B9" s="23" t="inlineStr">
        <is>
          <t>Fabrication Drawings</t>
        </is>
      </c>
      <c r="C9" s="34" t="n">
        <v>7</v>
      </c>
      <c r="D9" s="35" t="n">
        <v>5</v>
      </c>
      <c r="E9" s="43" t="n">
        <v>12</v>
      </c>
    </row>
    <row r="10" ht="18" customHeight="1">
      <c r="B10" s="41" t="inlineStr">
        <is>
          <t>Tags and Caution Sticker Drawing</t>
        </is>
      </c>
      <c r="C10" s="29" t="n">
        <v>7</v>
      </c>
      <c r="D10" s="30" t="n">
        <v>4</v>
      </c>
      <c r="E10" s="42" t="n">
        <v>11</v>
      </c>
    </row>
    <row r="11" ht="18" customHeight="1">
      <c r="B11" s="23" t="inlineStr">
        <is>
          <t>Testing Procedure</t>
        </is>
      </c>
      <c r="C11" s="34" t="n">
        <v>6</v>
      </c>
      <c r="D11" s="35" t="n">
        <v>5</v>
      </c>
      <c r="E11" s="43" t="n">
        <v>11</v>
      </c>
    </row>
    <row r="12" ht="18" customHeight="1">
      <c r="B12" s="41" t="inlineStr">
        <is>
          <t>Operation &amp; Maintenance Manual</t>
        </is>
      </c>
      <c r="C12" s="29" t="n">
        <v>5</v>
      </c>
      <c r="D12" s="30" t="n">
        <v>4</v>
      </c>
      <c r="E12" s="42" t="n">
        <v>9</v>
      </c>
    </row>
    <row r="13" ht="18" customHeight="1">
      <c r="B13" s="23" t="inlineStr">
        <is>
          <t>Weight and CG Calculation</t>
        </is>
      </c>
      <c r="C13" s="34" t="n">
        <v>3</v>
      </c>
      <c r="D13" s="35" t="n">
        <v>6</v>
      </c>
      <c r="E13" s="43" t="n">
        <v>9</v>
      </c>
    </row>
    <row r="14" ht="18" customHeight="1">
      <c r="B14" s="41" t="inlineStr">
        <is>
          <t>BOQ</t>
        </is>
      </c>
      <c r="C14" s="29" t="n">
        <v>3</v>
      </c>
      <c r="D14" s="30" t="n">
        <v>5</v>
      </c>
      <c r="E14" s="42" t="n">
        <v>8</v>
      </c>
    </row>
    <row r="15" ht="18" customHeight="1">
      <c r="B15" s="23" t="inlineStr">
        <is>
          <t>Electrical Wiring Diagrams</t>
        </is>
      </c>
      <c r="C15" s="34" t="n">
        <v>7</v>
      </c>
      <c r="D15" s="35" t="n">
        <v>1</v>
      </c>
      <c r="E15" s="43" t="n">
        <v>8</v>
      </c>
    </row>
    <row r="16" ht="18" customHeight="1">
      <c r="B16" s="41" t="inlineStr">
        <is>
          <t>AS-BUILT DRAWING</t>
        </is>
      </c>
      <c r="C16" s="29" t="n">
        <v>5</v>
      </c>
      <c r="D16" s="30" t="n">
        <v>2</v>
      </c>
      <c r="E16" s="42" t="n">
        <v>7</v>
      </c>
    </row>
    <row r="17" ht="18" customHeight="1">
      <c r="B17" s="23" t="inlineStr">
        <is>
          <t>Work Instruction Creation</t>
        </is>
      </c>
      <c r="C17" s="34" t="n">
        <v>4</v>
      </c>
      <c r="D17" s="35" t="n">
        <v>2</v>
      </c>
      <c r="E17" s="43" t="n">
        <v>6</v>
      </c>
    </row>
    <row r="18" ht="18" customHeight="1">
      <c r="B18" s="41" t="inlineStr">
        <is>
          <t>SFD</t>
        </is>
      </c>
      <c r="C18" s="29" t="n">
        <v>4</v>
      </c>
      <c r="D18" s="30" t="n">
        <v>2</v>
      </c>
      <c r="E18" s="42" t="n">
        <v>6</v>
      </c>
    </row>
    <row r="19" ht="18" customHeight="1">
      <c r="B19" s="23" t="inlineStr">
        <is>
          <t>Assembly Drawings</t>
        </is>
      </c>
      <c r="C19" s="34" t="n">
        <v>2</v>
      </c>
      <c r="D19" s="35" t="n">
        <v>4</v>
      </c>
      <c r="E19" s="43" t="n">
        <v>6</v>
      </c>
    </row>
    <row r="20" ht="18" customHeight="1">
      <c r="B20" s="41" t="inlineStr">
        <is>
          <t>BOQ Release</t>
        </is>
      </c>
      <c r="C20" s="29" t="n">
        <v>5</v>
      </c>
      <c r="D20" s="30" t="n">
        <v>1</v>
      </c>
      <c r="E20" s="42" t="n">
        <v>6</v>
      </c>
    </row>
  </sheetData>
  <mergeCells count="2"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2" ht="28" customHeight="1">
      <c r="B2" s="26" t="inlineStr">
        <is>
          <t>ENGINEER WORKLOAD &amp; PRODUCTIVITY</t>
        </is>
      </c>
    </row>
    <row r="3">
      <c r="B3" s="40" t="inlineStr">
        <is>
          <t>Activities scheduled per engineer (Q1 vs Q2 2026)</t>
        </is>
      </c>
    </row>
    <row r="5" ht="20" customHeight="1">
      <c r="B5" s="27" t="inlineStr">
        <is>
          <t>Engineer</t>
        </is>
      </c>
      <c r="C5" s="27" t="inlineStr">
        <is>
          <t>Q1 2026</t>
        </is>
      </c>
      <c r="D5" s="27" t="inlineStr">
        <is>
          <t>Q2 2026</t>
        </is>
      </c>
      <c r="E5" s="27" t="inlineStr">
        <is>
          <t>Total</t>
        </is>
      </c>
      <c r="F5" s="27" t="inlineStr">
        <is>
          <t>Share of Total</t>
        </is>
      </c>
    </row>
    <row r="6" ht="18" customHeight="1">
      <c r="B6" s="28" t="inlineStr">
        <is>
          <t>Sathish</t>
        </is>
      </c>
      <c r="C6" s="29" t="n">
        <v>45</v>
      </c>
      <c r="D6" s="30" t="n">
        <v>39</v>
      </c>
      <c r="E6" s="42" t="n">
        <v>84</v>
      </c>
      <c r="F6" s="44" t="n">
        <v>0.3065693430656934</v>
      </c>
    </row>
    <row r="7" ht="18" customHeight="1">
      <c r="B7" s="33" t="inlineStr">
        <is>
          <t>Khursheed</t>
        </is>
      </c>
      <c r="C7" s="34" t="n">
        <v>48</v>
      </c>
      <c r="D7" s="35" t="n">
        <v>11</v>
      </c>
      <c r="E7" s="43" t="n">
        <v>59</v>
      </c>
      <c r="F7" s="45" t="n">
        <v>0.2153284671532847</v>
      </c>
    </row>
    <row r="8" ht="18" customHeight="1">
      <c r="B8" s="28" t="inlineStr">
        <is>
          <t>Sijo</t>
        </is>
      </c>
      <c r="C8" s="29" t="n">
        <v>18</v>
      </c>
      <c r="D8" s="30" t="n">
        <v>29</v>
      </c>
      <c r="E8" s="42" t="n">
        <v>47</v>
      </c>
      <c r="F8" s="44" t="n">
        <v>0.1715328467153285</v>
      </c>
    </row>
    <row r="9" ht="18" customHeight="1">
      <c r="B9" s="33" t="inlineStr">
        <is>
          <t>Vignesh</t>
        </is>
      </c>
      <c r="C9" s="34" t="n">
        <v>18</v>
      </c>
      <c r="D9" s="35" t="n">
        <v>17</v>
      </c>
      <c r="E9" s="43" t="n">
        <v>35</v>
      </c>
      <c r="F9" s="45" t="n">
        <v>0.1277372262773723</v>
      </c>
    </row>
    <row r="10" ht="18" customHeight="1">
      <c r="B10" s="28" t="inlineStr">
        <is>
          <t>Sohail</t>
        </is>
      </c>
      <c r="C10" s="29" t="n">
        <v>13</v>
      </c>
      <c r="D10" s="30" t="n">
        <v>11</v>
      </c>
      <c r="E10" s="42" t="n">
        <v>24</v>
      </c>
      <c r="F10" s="44" t="n">
        <v>0.08759124087591241</v>
      </c>
    </row>
    <row r="11" ht="18" customHeight="1">
      <c r="B11" s="33" t="inlineStr">
        <is>
          <t>Mazhar</t>
        </is>
      </c>
      <c r="C11" s="34" t="n">
        <v>6</v>
      </c>
      <c r="D11" s="35" t="n">
        <v>6</v>
      </c>
      <c r="E11" s="43" t="n">
        <v>12</v>
      </c>
      <c r="F11" s="45" t="n">
        <v>0.04379562043795621</v>
      </c>
    </row>
    <row r="12" ht="18" customHeight="1">
      <c r="B12" s="28" t="inlineStr">
        <is>
          <t>Al Rafae</t>
        </is>
      </c>
      <c r="C12" s="29" t="n">
        <v>7</v>
      </c>
      <c r="D12" s="30" t="n">
        <v>1</v>
      </c>
      <c r="E12" s="42" t="n">
        <v>8</v>
      </c>
      <c r="F12" s="44" t="n">
        <v>0.0291970802919708</v>
      </c>
    </row>
    <row r="13" ht="18" customHeight="1">
      <c r="B13" s="33" t="inlineStr">
        <is>
          <t>Mahin</t>
        </is>
      </c>
      <c r="C13" s="34" t="n">
        <v>3</v>
      </c>
      <c r="D13" s="35" t="n">
        <v>0</v>
      </c>
      <c r="E13" s="43" t="n">
        <v>3</v>
      </c>
      <c r="F13" s="45" t="n">
        <v>0.01094890510948905</v>
      </c>
    </row>
    <row r="14" ht="18" customHeight="1">
      <c r="B14" s="28" t="inlineStr">
        <is>
          <t>(Unassigned)</t>
        </is>
      </c>
      <c r="C14" s="29" t="n">
        <v>0</v>
      </c>
      <c r="D14" s="30" t="n">
        <v>2</v>
      </c>
      <c r="E14" s="42" t="n">
        <v>2</v>
      </c>
      <c r="F14" s="44" t="n">
        <v>0.0072992700729927</v>
      </c>
    </row>
    <row r="15">
      <c r="B15" s="46" t="inlineStr">
        <is>
          <t>TOTAL</t>
        </is>
      </c>
      <c r="C15" s="47" t="n">
        <v>158</v>
      </c>
      <c r="D15" s="47" t="n">
        <v>116</v>
      </c>
      <c r="E15" s="47" t="n">
        <v>274</v>
      </c>
      <c r="F15" s="48" t="n">
        <v>1</v>
      </c>
    </row>
  </sheetData>
  <mergeCells count="2">
    <mergeCell ref="B2:F2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hidden="1" width="13" customWidth="1" min="7" max="7"/>
    <col hidden="1" width="13" customWidth="1" min="8" max="8"/>
    <col hidden="1" width="13" customWidth="1" min="9" max="9"/>
  </cols>
  <sheetData>
    <row r="2" ht="28" customHeight="1">
      <c r="B2" s="26" t="inlineStr">
        <is>
          <t>SKID PROJECTS — MDR DOCUMENT STATUS</t>
        </is>
      </c>
    </row>
    <row r="3">
      <c r="B3" s="40" t="inlineStr">
        <is>
          <t>Master Document Register submission tracking (Skid Pending Documents)</t>
        </is>
      </c>
    </row>
    <row r="4" ht="28" customHeight="1">
      <c r="B4" s="49" t="inlineStr">
        <is>
          <t>Note: source dates are in calendar year 2025; Q1/Q2 split shown for quarter-over-quarter trend. Totals reflect current register snapshot.</t>
        </is>
      </c>
    </row>
    <row r="6" ht="18" customHeight="1">
      <c r="B6" s="50" t="inlineStr">
        <is>
          <t>Total documents</t>
        </is>
      </c>
      <c r="C6" s="50" t="inlineStr">
        <is>
          <t>Completed</t>
        </is>
      </c>
      <c r="D6" s="50" t="inlineStr">
        <is>
          <t>Pending</t>
        </is>
      </c>
      <c r="E6" s="50" t="inlineStr">
        <is>
          <t>Skid jobs</t>
        </is>
      </c>
    </row>
    <row r="7" ht="28" customHeight="1">
      <c r="B7" s="51" t="n">
        <v>365</v>
      </c>
      <c r="C7" s="51" t="n">
        <v>244</v>
      </c>
      <c r="D7" s="51" t="n">
        <v>117</v>
      </c>
      <c r="E7" s="51" t="n">
        <v>40</v>
      </c>
    </row>
    <row r="9" ht="20" customHeight="1">
      <c r="B9" s="27" t="inlineStr">
        <is>
          <t>Skid MDR KPI</t>
        </is>
      </c>
      <c r="C9" s="27" t="inlineStr">
        <is>
          <t>Q1</t>
        </is>
      </c>
      <c r="D9" s="27" t="inlineStr">
        <is>
          <t>Q2</t>
        </is>
      </c>
      <c r="E9" s="27" t="inlineStr">
        <is>
          <t>Change</t>
        </is>
      </c>
    </row>
    <row r="10" ht="18" customHeight="1">
      <c r="B10" s="28" t="inlineStr">
        <is>
          <t>Documents due (planned)</t>
        </is>
      </c>
      <c r="C10" s="29" t="n">
        <v>193</v>
      </c>
      <c r="D10" s="30" t="n">
        <v>119</v>
      </c>
      <c r="E10" s="31" t="inlineStr">
        <is>
          <t>-74</t>
        </is>
      </c>
    </row>
    <row r="11" ht="18" customHeight="1">
      <c r="B11" s="33" t="inlineStr">
        <is>
          <t>Completed</t>
        </is>
      </c>
      <c r="C11" s="34" t="n">
        <v>180</v>
      </c>
      <c r="D11" s="35" t="n">
        <v>63</v>
      </c>
      <c r="E11" s="36" t="inlineStr">
        <is>
          <t>-117</t>
        </is>
      </c>
    </row>
    <row r="12" ht="18" customHeight="1">
      <c r="B12" s="28" t="inlineStr">
        <is>
          <t>Pending</t>
        </is>
      </c>
      <c r="C12" s="29" t="n">
        <v>13</v>
      </c>
      <c r="D12" s="30" t="n">
        <v>56</v>
      </c>
      <c r="E12" s="38" t="inlineStr">
        <is>
          <t>+43</t>
        </is>
      </c>
    </row>
    <row r="13" ht="18" customHeight="1">
      <c r="B13" s="33" t="inlineStr">
        <is>
          <t>Completion rate</t>
        </is>
      </c>
      <c r="C13" s="34" t="inlineStr">
        <is>
          <t>93.3%</t>
        </is>
      </c>
      <c r="D13" s="35" t="inlineStr">
        <is>
          <t>52.9%</t>
        </is>
      </c>
      <c r="E13" s="38" t="inlineStr">
        <is>
          <t>-40.3 pp</t>
        </is>
      </c>
    </row>
    <row r="14" ht="18" customHeight="1">
      <c r="B14" s="28" t="inlineStr">
        <is>
          <t>On-time submission rate</t>
        </is>
      </c>
      <c r="C14" s="29" t="inlineStr">
        <is>
          <t>14.8%</t>
        </is>
      </c>
      <c r="D14" s="30" t="inlineStr">
        <is>
          <t>33.3%</t>
        </is>
      </c>
      <c r="E14" s="39" t="inlineStr">
        <is>
          <t>+18.6 pp</t>
        </is>
      </c>
    </row>
    <row r="15" ht="18" customHeight="1">
      <c r="B15" s="33" t="inlineStr">
        <is>
          <t>Skid jobs touched</t>
        </is>
      </c>
      <c r="C15" s="34" t="n">
        <v>29</v>
      </c>
      <c r="D15" s="35" t="n">
        <v>29</v>
      </c>
      <c r="E15" s="36" t="inlineStr">
        <is>
          <t>+0</t>
        </is>
      </c>
    </row>
    <row r="17" ht="22" customHeight="1">
      <c r="B17" s="52" t="inlineStr">
        <is>
          <t>Pending Document Backlog by Assignee</t>
        </is>
      </c>
    </row>
    <row r="18">
      <c r="B18" s="53" t="inlineStr">
        <is>
          <t>Assignee</t>
        </is>
      </c>
      <c r="C18" s="54" t="inlineStr">
        <is>
          <t>Pending Docs</t>
        </is>
      </c>
    </row>
    <row r="19" ht="18" customHeight="1">
      <c r="B19" s="41" t="inlineStr">
        <is>
          <t>Kareem Malik</t>
        </is>
      </c>
      <c r="C19" s="55" t="n">
        <v>51</v>
      </c>
    </row>
    <row r="20" ht="18" customHeight="1">
      <c r="B20" s="23" t="inlineStr">
        <is>
          <t>Ashif Mujthaba</t>
        </is>
      </c>
      <c r="C20" s="56" t="n">
        <v>28</v>
      </c>
    </row>
    <row r="21" ht="18" customHeight="1">
      <c r="B21" s="41" t="inlineStr">
        <is>
          <t>Prem Kumar</t>
        </is>
      </c>
      <c r="C21" s="55" t="n">
        <v>12</v>
      </c>
    </row>
    <row r="22" ht="18" customHeight="1">
      <c r="B22" s="23" t="inlineStr">
        <is>
          <t>Pavan Kumar</t>
        </is>
      </c>
      <c r="C22" s="56" t="n">
        <v>8</v>
      </c>
    </row>
    <row r="23" ht="18" customHeight="1">
      <c r="B23" s="41" t="inlineStr">
        <is>
          <t>Mahin Basheer</t>
        </is>
      </c>
      <c r="C23" s="55" t="n">
        <v>7</v>
      </c>
    </row>
    <row r="24" ht="18" customHeight="1">
      <c r="B24" s="23" t="inlineStr">
        <is>
          <t>Raheem Shaikh</t>
        </is>
      </c>
      <c r="C24" s="56" t="n">
        <v>4</v>
      </c>
    </row>
    <row r="25" ht="18" customHeight="1">
      <c r="B25" s="41" t="inlineStr">
        <is>
          <t>Mohammed AlRefae</t>
        </is>
      </c>
      <c r="C25" s="55" t="n">
        <v>4</v>
      </c>
    </row>
    <row r="26" ht="18" customHeight="1">
      <c r="B26" s="23" t="inlineStr">
        <is>
          <t>Tijo Thilakan</t>
        </is>
      </c>
      <c r="C26" s="56" t="n">
        <v>3</v>
      </c>
    </row>
    <row r="28">
      <c r="G28" t="inlineStr">
        <is>
          <t>Stage</t>
        </is>
      </c>
      <c r="H28" t="inlineStr">
        <is>
          <t>Q1</t>
        </is>
      </c>
      <c r="I28" t="inlineStr">
        <is>
          <t>Q2</t>
        </is>
      </c>
    </row>
    <row r="29">
      <c r="G29" t="inlineStr">
        <is>
          <t>Completed</t>
        </is>
      </c>
      <c r="H29" t="n">
        <v>180</v>
      </c>
      <c r="I29" t="n">
        <v>63</v>
      </c>
    </row>
    <row r="30">
      <c r="G30" t="inlineStr">
        <is>
          <t>Pending</t>
        </is>
      </c>
      <c r="H30" t="n">
        <v>13</v>
      </c>
      <c r="I30" t="n">
        <v>56</v>
      </c>
    </row>
  </sheetData>
  <mergeCells count="4">
    <mergeCell ref="B2:F2"/>
    <mergeCell ref="B4:F4"/>
    <mergeCell ref="B17:E17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2" ht="28" customHeight="1">
      <c r="B2" s="26" t="inlineStr">
        <is>
          <t>ENGINEERING DIVISION — COMBINED OUTPUT</t>
        </is>
      </c>
    </row>
    <row r="3">
      <c r="B3" s="40" t="inlineStr">
        <is>
          <t>Job-scheduling activities + skid MDR documents</t>
        </is>
      </c>
    </row>
    <row r="5" ht="22" customHeight="1">
      <c r="B5" s="27" t="inlineStr">
        <is>
          <t>Work Stream</t>
        </is>
      </c>
      <c r="C5" s="27" t="inlineStr">
        <is>
          <t>Items Completed</t>
        </is>
      </c>
      <c r="D5" s="27" t="inlineStr">
        <is>
          <t>Open / Pending</t>
        </is>
      </c>
      <c r="E5" s="27" t="inlineStr">
        <is>
          <t>Quality</t>
        </is>
      </c>
    </row>
    <row r="6" ht="20" customHeight="1">
      <c r="B6" s="28" t="inlineStr">
        <is>
          <t>Job-scheduling activities (Q2 2026)</t>
        </is>
      </c>
      <c r="C6" s="57" t="n">
        <v>104</v>
      </c>
      <c r="D6" s="58" t="n">
        <v>12</v>
      </c>
      <c r="E6" s="29" t="inlineStr">
        <is>
          <t>On-time 92.0%</t>
        </is>
      </c>
    </row>
    <row r="7" ht="20" customHeight="1">
      <c r="B7" s="33" t="inlineStr">
        <is>
          <t>Job-scheduling activities (Q1 2026)</t>
        </is>
      </c>
      <c r="C7" s="59" t="n">
        <v>147</v>
      </c>
      <c r="D7" s="60" t="n">
        <v>11</v>
      </c>
      <c r="E7" s="34" t="inlineStr">
        <is>
          <t>On-time 87.8%</t>
        </is>
      </c>
    </row>
    <row r="8" ht="20" customHeight="1">
      <c r="B8" s="28" t="inlineStr">
        <is>
          <t>Skid MDR documents (register)</t>
        </is>
      </c>
      <c r="C8" s="57" t="n">
        <v>244</v>
      </c>
      <c r="D8" s="58" t="n">
        <v>117</v>
      </c>
      <c r="E8" s="29" t="inlineStr">
        <is>
          <t>66.8% complete</t>
        </is>
      </c>
    </row>
    <row r="10" ht="24" customHeight="1">
      <c r="B10" s="21" t="inlineStr">
        <is>
          <t>Recommendations / Focus for Q3 2026</t>
        </is>
      </c>
    </row>
    <row r="11" ht="30" customHeight="1">
      <c r="B11" s="41" t="inlineStr">
        <is>
          <t>1.  Sustain the on-time gain: lock in the Q2 schedule-reliability improvement (87.8% → 92.0%) by holding planning discipline on turnaround.</t>
        </is>
      </c>
    </row>
    <row r="12" ht="30" customHeight="1">
      <c r="B12" s="23" t="inlineStr">
        <is>
          <t>2.  Clear the skid MDR backlog: 117 pending documents are concentrated on two assignees — rebalance load and set weekly submission targets.</t>
        </is>
      </c>
    </row>
    <row r="13" ht="30" customHeight="1">
      <c r="B13" s="41" t="inlineStr">
        <is>
          <t>3.  Close out in-quarter WIP: 5 in-progress and 7 open activities should be driven to completion before quarter close.</t>
        </is>
      </c>
    </row>
    <row r="14" ht="30" customHeight="1">
      <c r="B14" s="23" t="inlineStr">
        <is>
          <t>4.  Validate full-quarter Q2 volume after 30 Jun: current figures are through 16 Jun and will rise.</t>
        </is>
      </c>
    </row>
    <row r="15" ht="30" customHeight="1">
      <c r="B15" s="41" t="inlineStr">
        <is>
          <t>5.  Watch workload concentration: a few engineers carry the majority of scheduled activities — consider cross-loading to reduce single-point dependency.</t>
        </is>
      </c>
    </row>
  </sheetData>
  <mergeCells count="8">
    <mergeCell ref="B12:E12"/>
    <mergeCell ref="B13:E13"/>
    <mergeCell ref="B15:E15"/>
    <mergeCell ref="B11:E11"/>
    <mergeCell ref="B3:E3"/>
    <mergeCell ref="B2:E2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2026-06-22T20:26:52Z</dcterms:created>
  <dcterms:modified xsi:type="dcterms:W3CDTF">2026-06-22T20:26:52Z</dcterms:modified>
</cp:coreProperties>
</file>